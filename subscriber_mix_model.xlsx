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ber Mix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<sst xmlns="http://schemas.openxmlformats.org/spreadsheetml/2006/main" count="86" uniqueCount="63">
  <si>
    <t xml:space="preserve">USER SEGMENT DEFINITIONS</t>
  </si>
  <si>
    <t xml:space="preserve">Segment</t>
  </si>
  <si>
    <t xml:space="preserve">Description</t>
  </si>
  <si>
    <t xml:space="preserve">Est. API Cost/Mo</t>
  </si>
  <si>
    <t xml:space="preserve">Behavior</t>
  </si>
  <si>
    <t xml:space="preserve">Dormant</t>
  </si>
  <si>
    <t xml:space="preserve">Signed up, rarely uses</t>
  </si>
  <si>
    <t xml:space="preserve">Few messages/month</t>
  </si>
  <si>
    <t xml:space="preserve">Light</t>
  </si>
  <si>
    <t xml:space="preserve">Casual chat user</t>
  </si>
  <si>
    <t xml:space="preserve">5-10 messages/day</t>
  </si>
  <si>
    <t xml:space="preserve">Moderate</t>
  </si>
  <si>
    <t xml:space="preserve">Regular user, some code</t>
  </si>
  <si>
    <t xml:space="preserve">Daily use, occasional CC</t>
  </si>
  <si>
    <t xml:space="preserve">Heavy</t>
  </si>
  <si>
    <t xml:space="preserve">Frequent Claude Code</t>
  </si>
  <si>
    <t xml:space="preserve">Hits limits weekly</t>
  </si>
  <si>
    <t xml:space="preserve">Power</t>
  </si>
  <si>
    <t xml:space="preserve">At rate limits constantly</t>
  </si>
  <si>
    <t xml:space="preserve">Multiple CC sessions/day</t>
  </si>
  <si>
    <t xml:space="preserve">Extreme</t>
  </si>
  <si>
    <t xml:space="preserve">Simon-level usage</t>
  </si>
  <si>
    <t xml:space="preserve">Would use more if allowed</t>
  </si>
  <si>
    <t xml:space="preserve">PRO PLAN ($20/month) - SUBSCRIBER MIX SCENARIOS</t>
  </si>
  <si>
    <t xml:space="preserve">Subscription Price:</t>
  </si>
  <si>
    <t xml:space="preserve">Gym Model</t>
  </si>
  <si>
    <t xml:space="preserve">Moderate Mix</t>
  </si>
  <si>
    <t xml:space="preserve">Power Shift</t>
  </si>
  <si>
    <t xml:space="preserve">Adverse Selection</t>
  </si>
  <si>
    <t xml:space="preserve">API Cost</t>
  </si>
  <si>
    <t xml:space="preserve">Profit/Sub</t>
  </si>
  <si>
    <t xml:space="preserve">Scenario A %</t>
  </si>
  <si>
    <t xml:space="preserve">Scenario B %</t>
  </si>
  <si>
    <t xml:space="preserve">Scenario C %</t>
  </si>
  <si>
    <t xml:space="preserve">Scenario D %</t>
  </si>
  <si>
    <t xml:space="preserve">Power (limited)</t>
  </si>
  <si>
    <t xml:space="preserve">Total %</t>
  </si>
  <si>
    <t xml:space="preserve">Weighted Avg Profit/Sub</t>
  </si>
  <si>
    <t xml:space="preserve">Gross Margin</t>
  </si>
  <si>
    <t xml:space="preserve">MAX 20x PLAN ($200/month) - SUBSCRIBER MIX SCENARIOS</t>
  </si>
  <si>
    <t xml:space="preserve">Optimistic</t>
  </si>
  <si>
    <t xml:space="preserve">Base Case</t>
  </si>
  <si>
    <t xml:space="preserve">Realistic</t>
  </si>
  <si>
    <t xml:space="preserve">Extreme (limited)</t>
  </si>
  <si>
    <t xml:space="preserve">BREAK-EVEN SENSITIVITY: What % of Power/Extreme users can Pro support?</t>
  </si>
  <si>
    <t xml:space="preserve">If 60% are Dormant+Light (very profitable):</t>
  </si>
  <si>
    <t xml:space="preserve">Max sustainable Power+Extreme %:</t>
  </si>
  <si>
    <t xml:space="preserve">If 40% are Dormant+Light (moderate):</t>
  </si>
  <si>
    <t xml:space="preserve">1. PRO PLAN: Profitable under 'gym model' assumptions (many dormant/light users)</t>
  </si>
  <si>
    <t xml:space="preserve">   - Needs ~60%+ dormant/light users to sustain any power users</t>
  </si>
  <si>
    <t xml:space="preserve">   - Rate limits are ESSENTIAL to cap losses on heavy users</t>
  </si>
  <si>
    <t xml:space="preserve">2. MAX PLAN: Structurally challenged by adverse selection</t>
  </si>
  <si>
    <t xml:space="preserve">   - Users who upgrade are by definition the expensive ones</t>
  </si>
  <si>
    <t xml:space="preserve">   - Even 'optimistic' scenarios show thin margins</t>
  </si>
  <si>
    <t xml:space="preserve">   - 'Realistic' and 'Adverse Selection' scenarios are unprofitable</t>
  </si>
  <si>
    <t xml:space="preserve">3. THE FUNDAMENTAL PROBLEM:</t>
  </si>
  <si>
    <t xml:space="preserve">   - Claude Code attracts exactly the users who cost the most to serve</t>
  </si>
  <si>
    <t xml:space="preserve">   - Marketing Claude Code drives upgrades... of the wrong users</t>
  </si>
  <si>
    <t xml:space="preserve">   - Tightening rate limits causes churn of engaged users</t>
  </si>
  <si>
    <t xml:space="preserve">4. IMPLICATIONS FOR MARKET CORRECTION:</t>
  </si>
  <si>
    <t xml:space="preserve">   - Consumer subscriptions may be loss-leaders for enterprise sales</t>
  </si>
  <si>
    <t xml:space="preserve">   - Or: being subsidized by VC funding during growth phase</t>
  </si>
  <si>
    <t xml:space="preserve">   - Correction triggers: funding dries up, growth stalls, or enterprise underperforms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</si>
</sst>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"/>
    <numFmt numFmtId="167" formatCode="0%"/>
    <numFmt numFmtId="168" formatCode="\$#,##0.00;&quot;($&quot;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3" t="n">
        <v>1</v>
      </c>
      <c r="D3" s="4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3" t="n">
        <v>5</v>
      </c>
      <c r="D4" s="4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n">
        <v>25</v>
      </c>
      <c r="D5" s="4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3" t="n">
        <v>60</v>
      </c>
      <c r="D6" s="4" t="s">
        <v>16</v>
      </c>
    </row>
    <row r="7" customFormat="false" ht="15" hidden="false" customHeight="false" outlineLevel="0" collapsed="false">
      <c r="A7" s="0" t="s">
        <v>17</v>
      </c>
      <c r="B7" s="0" t="s">
        <v>18</v>
      </c>
      <c r="C7" s="3" t="n">
        <v>120</v>
      </c>
      <c r="D7" s="4" t="s">
        <v>19</v>
      </c>
    </row>
    <row r="8" customFormat="false" ht="15" hidden="false" customHeight="false" outlineLevel="0" collapsed="false">
      <c r="A8" s="0" t="s">
        <v>20</v>
      </c>
      <c r="B8" s="0" t="s">
        <v>21</v>
      </c>
      <c r="C8" s="3" t="n">
        <v>250</v>
      </c>
      <c r="D8" s="4" t="s">
        <v>22</v>
      </c>
    </row>
    <row r="11" customFormat="false" ht="17.35" hidden="false" customHeight="false" outlineLevel="0" collapsed="false">
      <c r="A11" s="1" t="s">
        <v>23</v>
      </c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0" t="s">
        <v>24</v>
      </c>
      <c r="B12" s="3" t="n">
        <v>20</v>
      </c>
    </row>
    <row r="13" customFormat="false" ht="15" hidden="false" customHeight="false" outlineLevel="0" collapsed="false">
      <c r="D13" s="5" t="s">
        <v>25</v>
      </c>
      <c r="E13" s="5" t="s">
        <v>26</v>
      </c>
      <c r="F13" s="5" t="s">
        <v>27</v>
      </c>
      <c r="G13" s="5" t="s">
        <v>28</v>
      </c>
    </row>
    <row r="14" customFormat="false" ht="15" hidden="false" customHeight="false" outlineLevel="0" collapsed="false">
      <c r="A14" s="2" t="s">
        <v>1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</row>
    <row r="15" customFormat="false" ht="15" hidden="false" customHeight="false" outlineLevel="0" collapsed="false">
      <c r="A15" s="0" t="s">
        <v>5</v>
      </c>
      <c r="B15" s="6" t="n">
        <v>1</v>
      </c>
      <c r="C15" s="7" t="n">
        <f aca="false">$B$12-B15</f>
        <v>19</v>
      </c>
      <c r="D15" s="8" t="n">
        <v>0.4</v>
      </c>
      <c r="E15" s="8" t="n">
        <v>0.25</v>
      </c>
      <c r="F15" s="8" t="n">
        <v>0.15</v>
      </c>
      <c r="G15" s="8" t="n">
        <v>0.1</v>
      </c>
    </row>
    <row r="16" customFormat="false" ht="15" hidden="false" customHeight="false" outlineLevel="0" collapsed="false">
      <c r="A16" s="0" t="s">
        <v>8</v>
      </c>
      <c r="B16" s="6" t="n">
        <v>5</v>
      </c>
      <c r="C16" s="7" t="n">
        <f aca="false">$B$12-B16</f>
        <v>15</v>
      </c>
      <c r="D16" s="8" t="n">
        <v>0.35</v>
      </c>
      <c r="E16" s="8" t="n">
        <v>0.3</v>
      </c>
      <c r="F16" s="8" t="n">
        <v>0.25</v>
      </c>
      <c r="G16" s="8" t="n">
        <v>0.2</v>
      </c>
    </row>
    <row r="17" customFormat="false" ht="15" hidden="false" customHeight="false" outlineLevel="0" collapsed="false">
      <c r="A17" s="0" t="s">
        <v>11</v>
      </c>
      <c r="B17" s="6" t="n">
        <v>25</v>
      </c>
      <c r="C17" s="7" t="n">
        <f aca="false">$B$12-B17</f>
        <v>-5</v>
      </c>
      <c r="D17" s="8" t="n">
        <v>0.2</v>
      </c>
      <c r="E17" s="8" t="n">
        <v>0.3</v>
      </c>
      <c r="F17" s="8" t="n">
        <v>0.35</v>
      </c>
      <c r="G17" s="8" t="n">
        <v>0.35</v>
      </c>
    </row>
    <row r="18" customFormat="false" ht="15" hidden="false" customHeight="false" outlineLevel="0" collapsed="false">
      <c r="A18" s="0" t="s">
        <v>14</v>
      </c>
      <c r="B18" s="6" t="n">
        <v>60</v>
      </c>
      <c r="C18" s="7" t="n">
        <f aca="false">$B$12-B18</f>
        <v>-40</v>
      </c>
      <c r="D18" s="8" t="n">
        <v>0.05</v>
      </c>
      <c r="E18" s="8" t="n">
        <v>0.12</v>
      </c>
      <c r="F18" s="8" t="n">
        <v>0.2</v>
      </c>
      <c r="G18" s="8" t="n">
        <v>0.25</v>
      </c>
    </row>
    <row r="19" customFormat="false" ht="15" hidden="false" customHeight="false" outlineLevel="0" collapsed="false">
      <c r="A19" s="0" t="s">
        <v>35</v>
      </c>
      <c r="B19" s="6" t="n">
        <v>80</v>
      </c>
      <c r="C19" s="7" t="n">
        <f aca="false">$B$12-B19</f>
        <v>-60</v>
      </c>
      <c r="D19" s="8" t="n">
        <v>0</v>
      </c>
      <c r="E19" s="8" t="n">
        <v>0.03</v>
      </c>
      <c r="F19" s="8" t="n">
        <v>0.05</v>
      </c>
      <c r="G19" s="8" t="n">
        <v>0.1</v>
      </c>
    </row>
    <row r="20" customFormat="false" ht="15" hidden="false" customHeight="false" outlineLevel="0" collapsed="false">
      <c r="A20" s="9" t="s">
        <v>36</v>
      </c>
      <c r="D20" s="10" t="n">
        <f aca="false">SUM(D15:D19)</f>
        <v>1</v>
      </c>
      <c r="E20" s="10" t="n">
        <f aca="false">SUM(E15:E19)</f>
        <v>1</v>
      </c>
      <c r="F20" s="10" t="n">
        <f aca="false">SUM(F15:F19)</f>
        <v>1</v>
      </c>
      <c r="G20" s="10" t="n">
        <f aca="false">SUM(G15:G19)</f>
        <v>1</v>
      </c>
    </row>
    <row r="21" customFormat="false" ht="15" hidden="false" customHeight="false" outlineLevel="0" collapsed="false">
      <c r="A21" s="9" t="s">
        <v>37</v>
      </c>
      <c r="D21" s="11" t="n">
        <f aca="false">SUMPRODUCT($C$15:$C$19,D15:D19)</f>
        <v>9.85</v>
      </c>
      <c r="E21" s="11" t="n">
        <f aca="false">SUMPRODUCT($C$15:$C$19,E15:E19)</f>
        <v>1.15</v>
      </c>
      <c r="F21" s="11" t="n">
        <f aca="false">SUMPRODUCT($C$15:$C$19,F15:F19)</f>
        <v>-6.15</v>
      </c>
      <c r="G21" s="11" t="n">
        <f aca="false">SUMPRODUCT($C$15:$C$19,G15:G19)</f>
        <v>-12.85</v>
      </c>
    </row>
    <row r="22" customFormat="false" ht="15" hidden="false" customHeight="false" outlineLevel="0" collapsed="false">
      <c r="A22" s="9" t="s">
        <v>38</v>
      </c>
      <c r="D22" s="10" t="n">
        <f aca="false">D21/$B$12</f>
        <v>0.4925</v>
      </c>
      <c r="E22" s="10" t="n">
        <f aca="false">E21/$B$12</f>
        <v>0.0575</v>
      </c>
      <c r="F22" s="10" t="n">
        <f aca="false">F21/$B$12</f>
        <v>-0.3075</v>
      </c>
      <c r="G22" s="10" t="n">
        <f aca="false">G21/$B$12</f>
        <v>-0.6425</v>
      </c>
    </row>
    <row r="25" customFormat="false" ht="17.35" hidden="false" customHeight="false" outlineLevel="0" collapsed="false">
      <c r="A25" s="1" t="s">
        <v>39</v>
      </c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0" t="s">
        <v>24</v>
      </c>
      <c r="B26" s="3" t="n">
        <v>200</v>
      </c>
    </row>
    <row r="27" customFormat="false" ht="15" hidden="false" customHeight="false" outlineLevel="0" collapsed="false">
      <c r="D27" s="5" t="s">
        <v>40</v>
      </c>
      <c r="E27" s="5" t="s">
        <v>41</v>
      </c>
      <c r="F27" s="5" t="s">
        <v>42</v>
      </c>
      <c r="G27" s="5" t="s">
        <v>28</v>
      </c>
    </row>
    <row r="28" customFormat="false" ht="15" hidden="false" customHeight="false" outlineLevel="0" collapsed="false">
      <c r="A28" s="2" t="s">
        <v>1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</row>
    <row r="29" customFormat="false" ht="15" hidden="false" customHeight="false" outlineLevel="0" collapsed="false">
      <c r="A29" s="0" t="s">
        <v>5</v>
      </c>
      <c r="B29" s="6" t="n">
        <v>5</v>
      </c>
      <c r="C29" s="7" t="n">
        <f aca="false">$B$26-B29</f>
        <v>195</v>
      </c>
      <c r="D29" s="8" t="n">
        <v>0.05</v>
      </c>
      <c r="E29" s="8" t="n">
        <v>0.02</v>
      </c>
      <c r="F29" s="8" t="n">
        <v>0.01</v>
      </c>
      <c r="G29" s="8" t="n">
        <v>0</v>
      </c>
    </row>
    <row r="30" customFormat="false" ht="15" hidden="false" customHeight="false" outlineLevel="0" collapsed="false">
      <c r="A30" s="0" t="s">
        <v>8</v>
      </c>
      <c r="B30" s="6" t="n">
        <v>15</v>
      </c>
      <c r="C30" s="7" t="n">
        <f aca="false">$B$26-B30</f>
        <v>185</v>
      </c>
      <c r="D30" s="8" t="n">
        <v>0.1</v>
      </c>
      <c r="E30" s="8" t="n">
        <v>0.05</v>
      </c>
      <c r="F30" s="8" t="n">
        <v>0.02</v>
      </c>
      <c r="G30" s="8" t="n">
        <v>0.01</v>
      </c>
    </row>
    <row r="31" customFormat="false" ht="15" hidden="false" customHeight="false" outlineLevel="0" collapsed="false">
      <c r="A31" s="0" t="s">
        <v>11</v>
      </c>
      <c r="B31" s="6" t="n">
        <v>60</v>
      </c>
      <c r="C31" s="7" t="n">
        <f aca="false">$B$26-B31</f>
        <v>140</v>
      </c>
      <c r="D31" s="8" t="n">
        <v>0.25</v>
      </c>
      <c r="E31" s="8" t="n">
        <v>0.2</v>
      </c>
      <c r="F31" s="8" t="n">
        <v>0.15</v>
      </c>
      <c r="G31" s="8" t="n">
        <v>0.1</v>
      </c>
    </row>
    <row r="32" customFormat="false" ht="15" hidden="false" customHeight="false" outlineLevel="0" collapsed="false">
      <c r="A32" s="0" t="s">
        <v>14</v>
      </c>
      <c r="B32" s="6" t="n">
        <v>150</v>
      </c>
      <c r="C32" s="7" t="n">
        <f aca="false">$B$26-B32</f>
        <v>50</v>
      </c>
      <c r="D32" s="8" t="n">
        <v>0.4</v>
      </c>
      <c r="E32" s="8" t="n">
        <v>0.45</v>
      </c>
      <c r="F32" s="8" t="n">
        <v>0.45</v>
      </c>
      <c r="G32" s="8" t="n">
        <v>0.4</v>
      </c>
    </row>
    <row r="33" customFormat="false" ht="15" hidden="false" customHeight="false" outlineLevel="0" collapsed="false">
      <c r="A33" s="0" t="s">
        <v>17</v>
      </c>
      <c r="B33" s="6" t="n">
        <v>250</v>
      </c>
      <c r="C33" s="7" t="n">
        <f aca="false">$B$26-B33</f>
        <v>-50</v>
      </c>
      <c r="D33" s="8" t="n">
        <v>0.15</v>
      </c>
      <c r="E33" s="8" t="n">
        <v>0.2</v>
      </c>
      <c r="F33" s="8" t="n">
        <v>0.27</v>
      </c>
      <c r="G33" s="8" t="n">
        <v>0.34</v>
      </c>
    </row>
    <row r="34" customFormat="false" ht="15" hidden="false" customHeight="false" outlineLevel="0" collapsed="false">
      <c r="A34" s="0" t="s">
        <v>43</v>
      </c>
      <c r="B34" s="6" t="n">
        <v>350</v>
      </c>
      <c r="C34" s="7" t="n">
        <f aca="false">$B$26-B34</f>
        <v>-150</v>
      </c>
      <c r="D34" s="8" t="n">
        <v>0.05</v>
      </c>
      <c r="E34" s="8" t="n">
        <v>0.08</v>
      </c>
      <c r="F34" s="8" t="n">
        <v>0.1</v>
      </c>
      <c r="G34" s="8" t="n">
        <v>0.15</v>
      </c>
    </row>
    <row r="35" customFormat="false" ht="15" hidden="false" customHeight="false" outlineLevel="0" collapsed="false">
      <c r="A35" s="9" t="s">
        <v>36</v>
      </c>
      <c r="D35" s="10" t="n">
        <f aca="false">SUM(D29:D34)</f>
        <v>1</v>
      </c>
      <c r="E35" s="10" t="n">
        <f aca="false">SUM(E29:E34)</f>
        <v>1</v>
      </c>
      <c r="F35" s="10" t="n">
        <f aca="false">SUM(F29:F34)</f>
        <v>1</v>
      </c>
      <c r="G35" s="10" t="n">
        <f aca="false">SUM(G29:G34)</f>
        <v>1</v>
      </c>
    </row>
    <row r="36" customFormat="false" ht="15" hidden="false" customHeight="false" outlineLevel="0" collapsed="false">
      <c r="A36" s="9" t="s">
        <v>37</v>
      </c>
      <c r="D36" s="11" t="n">
        <f aca="false">SUMPRODUCT($C$29:$C$34,D29:D34)</f>
        <v>68.25</v>
      </c>
      <c r="E36" s="11" t="n">
        <f aca="false">SUMPRODUCT($C$29:$C$34,E29:E34)</f>
        <v>41.65</v>
      </c>
      <c r="F36" s="11" t="n">
        <f aca="false">SUMPRODUCT($C$29:$C$34,F29:F34)</f>
        <v>20.65</v>
      </c>
      <c r="G36" s="11" t="n">
        <f aca="false">SUMPRODUCT($C$29:$C$34,G29:G34)</f>
        <v>-3.65</v>
      </c>
    </row>
    <row r="37" customFormat="false" ht="15" hidden="false" customHeight="false" outlineLevel="0" collapsed="false">
      <c r="A37" s="9" t="s">
        <v>38</v>
      </c>
      <c r="D37" s="10" t="n">
        <f aca="false">D36/$B$26</f>
        <v>0.34125</v>
      </c>
      <c r="E37" s="10" t="n">
        <f aca="false">E36/$B$26</f>
        <v>0.20825</v>
      </c>
      <c r="F37" s="10" t="n">
        <f aca="false">F36/$B$26</f>
        <v>0.10325</v>
      </c>
      <c r="G37" s="10" t="n">
        <f aca="false">G36/$B$26</f>
        <v>-0.01825</v>
      </c>
    </row>
    <row r="40" customFormat="false" ht="17.35" hidden="false" customHeight="false" outlineLevel="0" collapsed="false">
      <c r="A40" s="1" t="s">
        <v>44</v>
      </c>
      <c r="B40" s="1"/>
      <c r="C40" s="1"/>
      <c r="D40" s="1"/>
      <c r="E40" s="1"/>
      <c r="F40" s="1"/>
    </row>
    <row r="42" customFormat="false" ht="15" hidden="false" customHeight="false" outlineLevel="0" collapsed="false">
      <c r="A42" s="0" t="s">
        <v>45</v>
      </c>
    </row>
    <row r="43" customFormat="false" ht="15" hidden="false" customHeight="false" outlineLevel="0" collapsed="false">
      <c r="A43" s="0" t="s">
        <v>46</v>
      </c>
      <c r="B43" s="12" t="n">
        <f aca="false">(B12*0.6-1*0.3-5*0.3)/(80-B12)</f>
        <v>0.17</v>
      </c>
    </row>
    <row r="45" customFormat="false" ht="15" hidden="false" customHeight="false" outlineLevel="0" collapsed="false">
      <c r="A45" s="0" t="s">
        <v>47</v>
      </c>
    </row>
    <row r="46" customFormat="false" ht="15" hidden="false" customHeight="false" outlineLevel="0" collapsed="false">
      <c r="A46" s="0" t="s">
        <v>46</v>
      </c>
      <c r="B46" s="12" t="n">
        <f aca="false">(B12*0.4-1*0.2-5*0.2)/(80-B12)</f>
        <v>0.113333333333333</v>
      </c>
    </row>
    <row r="49" customFormat="false" ht="17.3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" hidden="false" customHeight="false" outlineLevel="0" collapsed="false">
      <c r="A50" s="13" t="s">
        <v>48</v>
      </c>
      <c r="B50" s="13"/>
      <c r="C50" s="13"/>
      <c r="D50" s="13"/>
      <c r="E50" s="13"/>
      <c r="F50" s="13"/>
      <c r="G50" s="13"/>
    </row>
    <row r="51" customFormat="false" ht="15" hidden="false" customHeight="false" outlineLevel="0" collapsed="false">
      <c r="A51" s="13" t="s">
        <v>49</v>
      </c>
      <c r="B51" s="13"/>
      <c r="C51" s="13"/>
      <c r="D51" s="13"/>
      <c r="E51" s="13"/>
      <c r="F51" s="13"/>
      <c r="G51" s="13"/>
    </row>
    <row r="52" customFormat="false" ht="15" hidden="false" customHeight="false" outlineLevel="0" collapsed="false">
      <c r="A52" s="13" t="s">
        <v>50</v>
      </c>
      <c r="B52" s="13"/>
      <c r="C52" s="13"/>
      <c r="D52" s="13"/>
      <c r="E52" s="13"/>
      <c r="F52" s="13"/>
      <c r="G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</row>
    <row r="54" customFormat="false" ht="15" hidden="false" customHeight="false" outlineLevel="0" collapsed="false">
      <c r="A54" s="13" t="s">
        <v>51</v>
      </c>
      <c r="B54" s="13"/>
      <c r="C54" s="13"/>
      <c r="D54" s="13"/>
      <c r="E54" s="13"/>
      <c r="F54" s="13"/>
      <c r="G54" s="13"/>
    </row>
    <row r="55" customFormat="false" ht="15" hidden="false" customHeight="false" outlineLevel="0" collapsed="false">
      <c r="A55" s="13" t="s">
        <v>52</v>
      </c>
      <c r="B55" s="13"/>
      <c r="C55" s="13"/>
      <c r="D55" s="13"/>
      <c r="E55" s="13"/>
      <c r="F55" s="13"/>
      <c r="G55" s="13"/>
    </row>
    <row r="56" customFormat="false" ht="15" hidden="false" customHeight="false" outlineLevel="0" collapsed="false">
      <c r="A56" s="13" t="s">
        <v>53</v>
      </c>
      <c r="B56" s="13"/>
      <c r="C56" s="13"/>
      <c r="D56" s="13"/>
      <c r="E56" s="13"/>
      <c r="F56" s="13"/>
      <c r="G56" s="13"/>
    </row>
    <row r="57" customFormat="false" ht="15" hidden="false" customHeight="false" outlineLevel="0" collapsed="false">
      <c r="A57" s="13" t="s">
        <v>54</v>
      </c>
      <c r="B57" s="13"/>
      <c r="C57" s="13"/>
      <c r="D57" s="13"/>
      <c r="E57" s="13"/>
      <c r="F57" s="13"/>
      <c r="G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</row>
    <row r="59" customFormat="false" ht="15" hidden="false" customHeight="false" outlineLevel="0" collapsed="false">
      <c r="A59" s="13" t="s">
        <v>55</v>
      </c>
      <c r="B59" s="13"/>
      <c r="C59" s="13"/>
      <c r="D59" s="13"/>
      <c r="E59" s="13"/>
      <c r="F59" s="13"/>
      <c r="G59" s="13"/>
    </row>
    <row r="60" customFormat="false" ht="15" hidden="false" customHeight="false" outlineLevel="0" collapsed="false">
      <c r="A60" s="13" t="s">
        <v>56</v>
      </c>
      <c r="B60" s="13"/>
      <c r="C60" s="13"/>
      <c r="D60" s="13"/>
      <c r="E60" s="13"/>
      <c r="F60" s="13"/>
      <c r="G60" s="13"/>
    </row>
    <row r="61" customFormat="false" ht="15" hidden="false" customHeight="false" outlineLevel="0" collapsed="false">
      <c r="A61" s="13" t="s">
        <v>57</v>
      </c>
      <c r="B61" s="13"/>
      <c r="C61" s="13"/>
      <c r="D61" s="13"/>
      <c r="E61" s="13"/>
      <c r="F61" s="13"/>
      <c r="G61" s="13"/>
    </row>
    <row r="62" customFormat="false" ht="15" hidden="false" customHeight="false" outlineLevel="0" collapsed="false">
      <c r="A62" s="13" t="s">
        <v>58</v>
      </c>
      <c r="B62" s="13"/>
      <c r="C62" s="13"/>
      <c r="D62" s="13"/>
      <c r="E62" s="13"/>
      <c r="F62" s="13"/>
      <c r="G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</row>
    <row r="64" customFormat="false" ht="15" hidden="false" customHeight="false" outlineLevel="0" collapsed="false">
      <c r="A64" s="13" t="s">
        <v>59</v>
      </c>
      <c r="B64" s="13"/>
      <c r="C64" s="13"/>
      <c r="D64" s="13"/>
      <c r="E64" s="13"/>
      <c r="F64" s="13"/>
      <c r="G64" s="13"/>
    </row>
    <row r="65" customFormat="false" ht="15" hidden="false" customHeight="false" outlineLevel="0" collapsed="false">
      <c r="A65" s="13" t="s">
        <v>60</v>
      </c>
      <c r="B65" s="13"/>
      <c r="C65" s="13"/>
      <c r="D65" s="13"/>
      <c r="E65" s="13"/>
      <c r="F65" s="13"/>
      <c r="G65" s="13"/>
    </row>
    <row r="66" customFormat="false" ht="15" hidden="false" customHeight="false" outlineLevel="0" collapsed="false">
      <c r="A66" s="13" t="s">
        <v>61</v>
      </c>
      <c r="B66" s="13"/>
      <c r="C66" s="13"/>
      <c r="D66" s="13"/>
      <c r="E66" s="13"/>
      <c r="F66" s="13"/>
      <c r="G66" s="13"/>
    </row>
    <row r="67" customFormat="false" ht="15" hidden="false" customHeight="false" outlineLevel="0" collapsed="false">
      <c r="A67" s="13" t="s">
        <v>62</v>
      </c>
      <c r="B67" s="13"/>
      <c r="C67" s="13"/>
      <c r="D67" s="13"/>
      <c r="E67" s="13"/>
      <c r="F67" s="13"/>
      <c r="G67" s="13"/>
    </row>
  </sheetData>
  <mergeCells count="23">
    <mergeCell ref="A1:E1"/>
    <mergeCell ref="A11:G11"/>
    <mergeCell ref="A25:G25"/>
    <mergeCell ref="A40:F40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2026-01-28T18:55:54Z</dcterms:created>
  <dc:creator>openpyxl</dc:creator>
  <dc:description/>
  <dc:language>en-US</dc:language>
  <cp:lastModifiedBy/>
  <dcterms:modified xsi:type="dcterms:W3CDTF">2026-01-28T18:55:54Z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