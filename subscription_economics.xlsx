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 Econom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<sst xmlns="http://schemas.openxmlformats.org/spreadsheetml/2006/main" count="66" uniqueCount="43">
  <si>
    <t xml:space="preserve">ANTHROPIC API PRICING (per million tokens)</t>
  </si>
  <si>
    <t xml:space="preserve">Model</t>
  </si>
  <si>
    <t xml:space="preserve">Input</t>
  </si>
  <si>
    <t xml:space="preserve">Cache Read</t>
  </si>
  <si>
    <t xml:space="preserve">Output</t>
  </si>
  <si>
    <t xml:space="preserve">Opus 4.5</t>
  </si>
  <si>
    <t xml:space="preserve">Sonnet 4.5</t>
  </si>
  <si>
    <t xml:space="preserve">SUBSCRIPTION TIERS</t>
  </si>
  <si>
    <t xml:space="preserve">Plan</t>
  </si>
  <si>
    <t xml:space="preserve">Price/Month</t>
  </si>
  <si>
    <t xml:space="preserve">CC Prompts/5hr (mid)</t>
  </si>
  <si>
    <t xml:space="preserve">Est. Weekly Hours</t>
  </si>
  <si>
    <t xml:space="preserve">Pro</t>
  </si>
  <si>
    <t xml:space="preserve">Max 5x</t>
  </si>
  <si>
    <t xml:space="preserve">Max 20x</t>
  </si>
  <si>
    <t xml:space="preserve">BASELINE: SIMON'S ACTUAL USAGE (from blog post)</t>
  </si>
  <si>
    <t xml:space="preserve">Median session tokens</t>
  </si>
  <si>
    <t xml:space="preserve">Median session API cost</t>
  </si>
  <si>
    <t xml:space="preserve">Daily API cost (workday)</t>
  </si>
  <si>
    <t xml:space="preserve">Monthly API cost (22 days)</t>
  </si>
  <si>
    <t xml:space="preserve">Sessions per workday (implied)</t>
  </si>
  <si>
    <t xml:space="preserve">ESTIMATED API-EQUIVALENT COST AT RATE LIMITS</t>
  </si>
  <si>
    <t xml:space="preserve">Scenario</t>
  </si>
  <si>
    <t xml:space="preserve">Subscription</t>
  </si>
  <si>
    <t xml:space="preserve">Est. API Cost</t>
  </si>
  <si>
    <t xml:space="preserve">Profit/(Loss)</t>
  </si>
  <si>
    <t xml:space="preserve">Margin %</t>
  </si>
  <si>
    <t xml:space="preserve">Light User (chat only)</t>
  </si>
  <si>
    <t xml:space="preserve">Moderate User</t>
  </si>
  <si>
    <t xml:space="preserve">Power User (at limits)</t>
  </si>
  <si>
    <t xml:space="preserve">Extreme User (Simon-level)</t>
  </si>
  <si>
    <t xml:space="preserve">BREAK-EVEN ANALYSIS</t>
  </si>
  <si>
    <t xml:space="preserve">At what API-equivalent usage does each plan break even?</t>
  </si>
  <si>
    <t xml:space="preserve">Price</t>
  </si>
  <si>
    <t xml:space="preserve">Break-even API cost</t>
  </si>
  <si>
    <t xml:space="preserve">As % of Simon's usage</t>
  </si>
  <si>
    <t xml:space="preserve">KEY INSIGHTS</t>
  </si>
  <si>
    <t xml:space="preserve">1. Pro ($20) breaks even at ~5% of Simon's usage level</t>
  </si>
  <si>
    <t xml:space="preserve">2. Max 20x ($200) breaks even at ~52% of Simon's usage level</t>
  </si>
  <si>
    <t xml:space="preserve">3. Rate limits appear designed to cap losses on power users</t>
  </si>
  <si>
    <t xml:space="preserve">4. User complaints about '60% reduction' in limits suggest Anthropic is actively managing costs</t>
  </si>
  <si>
    <t xml:space="preserve">5. The adverse selection problem: users who upgrade are likely the expensive ones</t>
  </si>
  <si>
    <t xml:space="preserve">6. Holiday double-limits reveal: consumer subs use 'leftover' enterprise capacity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</si>
</sst>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$#,##0"/>
    <numFmt numFmtId="167" formatCode="#,##0"/>
    <numFmt numFmtId="168" formatCode="#,##0.0"/>
    <numFmt numFmtId="169" formatCode="\$#,##0;&quot;($&quot;#,##0\);\-"/>
    <numFmt numFmtId="170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0" t="s">
        <v>5</v>
      </c>
      <c r="B3" s="3" t="n">
        <v>5</v>
      </c>
      <c r="C3" s="3" t="n">
        <v>0.5</v>
      </c>
      <c r="D3" s="3" t="n">
        <v>25</v>
      </c>
    </row>
    <row r="4" customFormat="false" ht="15" hidden="false" customHeight="false" outlineLevel="0" collapsed="false">
      <c r="A4" s="0" t="s">
        <v>6</v>
      </c>
      <c r="B4" s="3" t="n">
        <v>3</v>
      </c>
      <c r="C4" s="3" t="n">
        <v>0.3</v>
      </c>
      <c r="D4" s="3" t="n">
        <v>15</v>
      </c>
    </row>
    <row r="6" customFormat="false" ht="17.35" hidden="false" customHeight="false" outlineLevel="0" collapsed="false">
      <c r="A6" s="4" t="s">
        <v>7</v>
      </c>
    </row>
    <row r="7" customFormat="false" ht="15" hidden="false" customHeight="false" outlineLevel="0" collapsed="false">
      <c r="A7" s="2" t="s">
        <v>8</v>
      </c>
      <c r="B7" s="2" t="s">
        <v>9</v>
      </c>
      <c r="C7" s="2" t="s">
        <v>10</v>
      </c>
      <c r="D7" s="2" t="s">
        <v>11</v>
      </c>
    </row>
    <row r="8" customFormat="false" ht="15" hidden="false" customHeight="false" outlineLevel="0" collapsed="false">
      <c r="A8" s="0" t="s">
        <v>12</v>
      </c>
      <c r="B8" s="5" t="n">
        <v>20</v>
      </c>
      <c r="C8" s="6" t="n">
        <v>25</v>
      </c>
      <c r="D8" s="6" t="n">
        <v>10</v>
      </c>
    </row>
    <row r="9" customFormat="false" ht="15" hidden="false" customHeight="false" outlineLevel="0" collapsed="false">
      <c r="A9" s="0" t="s">
        <v>13</v>
      </c>
      <c r="B9" s="5" t="n">
        <v>100</v>
      </c>
      <c r="C9" s="6" t="n">
        <v>125</v>
      </c>
      <c r="D9" s="6" t="n">
        <v>50</v>
      </c>
    </row>
    <row r="10" customFormat="false" ht="15" hidden="false" customHeight="false" outlineLevel="0" collapsed="false">
      <c r="A10" s="0" t="s">
        <v>14</v>
      </c>
      <c r="B10" s="5" t="n">
        <v>200</v>
      </c>
      <c r="C10" s="6" t="n">
        <v>500</v>
      </c>
      <c r="D10" s="6" t="n">
        <v>120</v>
      </c>
    </row>
    <row r="12" customFormat="false" ht="17.35" hidden="false" customHeight="false" outlineLevel="0" collapsed="false">
      <c r="A12" s="1" t="s">
        <v>15</v>
      </c>
      <c r="B12" s="1"/>
      <c r="C12" s="1"/>
      <c r="D12" s="1"/>
    </row>
    <row r="13" customFormat="false" ht="15" hidden="false" customHeight="false" outlineLevel="0" collapsed="false">
      <c r="A13" s="0" t="s">
        <v>16</v>
      </c>
      <c r="B13" s="7" t="n">
        <v>592439</v>
      </c>
    </row>
    <row r="14" customFormat="false" ht="15" hidden="false" customHeight="false" outlineLevel="0" collapsed="false">
      <c r="A14" s="0" t="s">
        <v>17</v>
      </c>
      <c r="B14" s="3" t="n">
        <v>1.7</v>
      </c>
    </row>
    <row r="15" customFormat="false" ht="15" hidden="false" customHeight="false" outlineLevel="0" collapsed="false">
      <c r="A15" s="0" t="s">
        <v>18</v>
      </c>
      <c r="B15" s="3" t="n">
        <v>17.5</v>
      </c>
    </row>
    <row r="16" customFormat="false" ht="15" hidden="false" customHeight="false" outlineLevel="0" collapsed="false">
      <c r="A16" s="0" t="s">
        <v>19</v>
      </c>
      <c r="B16" s="8" t="n">
        <f aca="false">B15*22</f>
        <v>385</v>
      </c>
    </row>
    <row r="17" customFormat="false" ht="15" hidden="false" customHeight="false" outlineLevel="0" collapsed="false">
      <c r="A17" s="0" t="s">
        <v>20</v>
      </c>
      <c r="B17" s="9" t="n">
        <f aca="false">B15/B14</f>
        <v>10.2941176470588</v>
      </c>
    </row>
    <row r="19" customFormat="false" ht="17.35" hidden="false" customHeight="false" outlineLevel="0" collapsed="false">
      <c r="A19" s="1" t="s">
        <v>21</v>
      </c>
      <c r="B19" s="1"/>
      <c r="C19" s="1"/>
      <c r="D19" s="1"/>
      <c r="E19" s="1"/>
      <c r="F19" s="1"/>
    </row>
    <row r="20" customFormat="false" ht="15" hidden="false" customHeight="false" outlineLevel="0" collapsed="false">
      <c r="A20" s="2" t="s">
        <v>22</v>
      </c>
      <c r="B20" s="2" t="s">
        <v>8</v>
      </c>
      <c r="C20" s="2" t="s">
        <v>23</v>
      </c>
      <c r="D20" s="2" t="s">
        <v>24</v>
      </c>
      <c r="E20" s="2" t="s">
        <v>25</v>
      </c>
      <c r="F20" s="2" t="s">
        <v>26</v>
      </c>
    </row>
    <row r="21" customFormat="false" ht="15" hidden="false" customHeight="false" outlineLevel="0" collapsed="false">
      <c r="A21" s="0" t="s">
        <v>27</v>
      </c>
      <c r="B21" s="0" t="s">
        <v>12</v>
      </c>
      <c r="C21" s="10" t="n">
        <v>20</v>
      </c>
      <c r="D21" s="5" t="n">
        <v>5</v>
      </c>
      <c r="E21" s="11" t="n">
        <f aca="false">C21-D21</f>
        <v>15</v>
      </c>
      <c r="F21" s="12" t="n">
        <f aca="false">IF(C21=0,0,E21/C21)</f>
        <v>0.75</v>
      </c>
    </row>
    <row r="22" customFormat="false" ht="15" hidden="false" customHeight="false" outlineLevel="0" collapsed="false">
      <c r="A22" s="0" t="s">
        <v>27</v>
      </c>
      <c r="B22" s="0" t="s">
        <v>13</v>
      </c>
      <c r="C22" s="10" t="n">
        <v>100</v>
      </c>
      <c r="D22" s="5" t="n">
        <v>15</v>
      </c>
      <c r="E22" s="11" t="n">
        <f aca="false">C22-D22</f>
        <v>85</v>
      </c>
      <c r="F22" s="12" t="n">
        <f aca="false">IF(C22=0,0,E22/C22)</f>
        <v>0.85</v>
      </c>
    </row>
    <row r="23" customFormat="false" ht="15" hidden="false" customHeight="false" outlineLevel="0" collapsed="false">
      <c r="A23" s="0" t="s">
        <v>28</v>
      </c>
      <c r="B23" s="0" t="s">
        <v>12</v>
      </c>
      <c r="C23" s="10" t="n">
        <v>20</v>
      </c>
      <c r="D23" s="5" t="n">
        <v>35</v>
      </c>
      <c r="E23" s="11" t="n">
        <f aca="false">C23-D23</f>
        <v>-15</v>
      </c>
      <c r="F23" s="12" t="n">
        <f aca="false">IF(C23=0,0,E23/C23)</f>
        <v>-0.75</v>
      </c>
    </row>
    <row r="24" customFormat="false" ht="15" hidden="false" customHeight="false" outlineLevel="0" collapsed="false">
      <c r="A24" s="0" t="s">
        <v>28</v>
      </c>
      <c r="B24" s="0" t="s">
        <v>13</v>
      </c>
      <c r="C24" s="10" t="n">
        <v>100</v>
      </c>
      <c r="D24" s="5" t="n">
        <v>80</v>
      </c>
      <c r="E24" s="11" t="n">
        <f aca="false">C24-D24</f>
        <v>20</v>
      </c>
      <c r="F24" s="12" t="n">
        <f aca="false">IF(C24=0,0,E24/C24)</f>
        <v>0.2</v>
      </c>
    </row>
    <row r="25" customFormat="false" ht="15" hidden="false" customHeight="false" outlineLevel="0" collapsed="false">
      <c r="A25" s="0" t="s">
        <v>28</v>
      </c>
      <c r="B25" s="0" t="s">
        <v>14</v>
      </c>
      <c r="C25" s="10" t="n">
        <v>200</v>
      </c>
      <c r="D25" s="5" t="n">
        <v>150</v>
      </c>
      <c r="E25" s="11" t="n">
        <f aca="false">C25-D25</f>
        <v>50</v>
      </c>
      <c r="F25" s="12" t="n">
        <f aca="false">IF(C25=0,0,E25/C25)</f>
        <v>0.25</v>
      </c>
    </row>
    <row r="26" customFormat="false" ht="15" hidden="false" customHeight="false" outlineLevel="0" collapsed="false">
      <c r="A26" s="0" t="s">
        <v>29</v>
      </c>
      <c r="B26" s="0" t="s">
        <v>12</v>
      </c>
      <c r="C26" s="10" t="n">
        <v>20</v>
      </c>
      <c r="D26" s="5" t="n">
        <v>60</v>
      </c>
      <c r="E26" s="11" t="n">
        <f aca="false">C26-D26</f>
        <v>-40</v>
      </c>
      <c r="F26" s="12" t="n">
        <f aca="false">IF(C26=0,0,E26/C26)</f>
        <v>-2</v>
      </c>
    </row>
    <row r="27" customFormat="false" ht="15" hidden="false" customHeight="false" outlineLevel="0" collapsed="false">
      <c r="A27" s="0" t="s">
        <v>29</v>
      </c>
      <c r="B27" s="0" t="s">
        <v>13</v>
      </c>
      <c r="C27" s="10" t="n">
        <v>100</v>
      </c>
      <c r="D27" s="5" t="n">
        <v>180</v>
      </c>
      <c r="E27" s="11" t="n">
        <f aca="false">C27-D27</f>
        <v>-80</v>
      </c>
      <c r="F27" s="12" t="n">
        <f aca="false">IF(C27=0,0,E27/C27)</f>
        <v>-0.8</v>
      </c>
    </row>
    <row r="28" customFormat="false" ht="15" hidden="false" customHeight="false" outlineLevel="0" collapsed="false">
      <c r="A28" s="0" t="s">
        <v>29</v>
      </c>
      <c r="B28" s="0" t="s">
        <v>14</v>
      </c>
      <c r="C28" s="10" t="n">
        <v>200</v>
      </c>
      <c r="D28" s="5" t="n">
        <v>385</v>
      </c>
      <c r="E28" s="11" t="n">
        <f aca="false">C28-D28</f>
        <v>-185</v>
      </c>
      <c r="F28" s="12" t="n">
        <f aca="false">IF(C28=0,0,E28/C28)</f>
        <v>-0.925</v>
      </c>
    </row>
    <row r="29" customFormat="false" ht="15" hidden="false" customHeight="false" outlineLevel="0" collapsed="false">
      <c r="A29" s="0" t="s">
        <v>30</v>
      </c>
      <c r="B29" s="0" t="s">
        <v>12</v>
      </c>
      <c r="C29" s="10" t="n">
        <v>20</v>
      </c>
      <c r="D29" s="5" t="n">
        <v>80</v>
      </c>
      <c r="E29" s="11" t="n">
        <f aca="false">C29-D29</f>
        <v>-60</v>
      </c>
      <c r="F29" s="12" t="n">
        <f aca="false">IF(C29=0,0,E29/C29)</f>
        <v>-3</v>
      </c>
    </row>
    <row r="30" customFormat="false" ht="15" hidden="false" customHeight="false" outlineLevel="0" collapsed="false">
      <c r="A30" s="0" t="s">
        <v>30</v>
      </c>
      <c r="B30" s="0" t="s">
        <v>13</v>
      </c>
      <c r="C30" s="10" t="n">
        <v>100</v>
      </c>
      <c r="D30" s="5" t="n">
        <v>250</v>
      </c>
      <c r="E30" s="11" t="n">
        <f aca="false">C30-D30</f>
        <v>-150</v>
      </c>
      <c r="F30" s="12" t="n">
        <f aca="false">IF(C30=0,0,E30/C30)</f>
        <v>-1.5</v>
      </c>
    </row>
    <row r="31" customFormat="false" ht="15" hidden="false" customHeight="false" outlineLevel="0" collapsed="false">
      <c r="A31" s="0" t="s">
        <v>30</v>
      </c>
      <c r="B31" s="0" t="s">
        <v>14</v>
      </c>
      <c r="C31" s="10" t="n">
        <v>200</v>
      </c>
      <c r="D31" s="5" t="n">
        <v>525</v>
      </c>
      <c r="E31" s="11" t="n">
        <f aca="false">C31-D31</f>
        <v>-325</v>
      </c>
      <c r="F31" s="12" t="n">
        <f aca="false">IF(C31=0,0,E31/C31)</f>
        <v>-1.625</v>
      </c>
    </row>
    <row r="34" customFormat="false" ht="17.35" hidden="false" customHeight="false" outlineLevel="0" collapsed="false">
      <c r="A34" s="4" t="s">
        <v>31</v>
      </c>
    </row>
    <row r="35" customFormat="false" ht="15" hidden="false" customHeight="false" outlineLevel="0" collapsed="false">
      <c r="A35" s="0" t="s">
        <v>32</v>
      </c>
    </row>
    <row r="36" customFormat="false" ht="15" hidden="false" customHeight="false" outlineLevel="0" collapsed="false">
      <c r="A36" s="2" t="s">
        <v>8</v>
      </c>
      <c r="B36" s="2" t="s">
        <v>33</v>
      </c>
      <c r="C36" s="2" t="s">
        <v>34</v>
      </c>
      <c r="D36" s="2" t="s">
        <v>35</v>
      </c>
    </row>
    <row r="37" customFormat="false" ht="15" hidden="false" customHeight="false" outlineLevel="0" collapsed="false">
      <c r="A37" s="0" t="s">
        <v>12</v>
      </c>
      <c r="B37" s="10" t="n">
        <v>20</v>
      </c>
      <c r="C37" s="10" t="n">
        <v>20</v>
      </c>
      <c r="D37" s="12" t="n">
        <f aca="false">C37/B$16</f>
        <v>0.051948051948052</v>
      </c>
    </row>
    <row r="38" customFormat="false" ht="15" hidden="false" customHeight="false" outlineLevel="0" collapsed="false">
      <c r="A38" s="0" t="s">
        <v>13</v>
      </c>
      <c r="B38" s="10" t="n">
        <v>100</v>
      </c>
      <c r="C38" s="10" t="n">
        <v>100</v>
      </c>
      <c r="D38" s="12" t="n">
        <f aca="false">C38/B$16</f>
        <v>0.25974025974026</v>
      </c>
    </row>
    <row r="39" customFormat="false" ht="15" hidden="false" customHeight="false" outlineLevel="0" collapsed="false">
      <c r="A39" s="0" t="s">
        <v>14</v>
      </c>
      <c r="B39" s="10" t="n">
        <v>200</v>
      </c>
      <c r="C39" s="10" t="n">
        <v>200</v>
      </c>
      <c r="D39" s="12" t="n">
        <f aca="false">C39/B$16</f>
        <v>0.519480519480519</v>
      </c>
    </row>
    <row r="42" customFormat="false" ht="17.35" hidden="false" customHeight="false" outlineLevel="0" collapsed="false">
      <c r="A42" s="4" t="s">
        <v>36</v>
      </c>
    </row>
    <row r="43" customFormat="false" ht="15" hidden="false" customHeight="false" outlineLevel="0" collapsed="false">
      <c r="A43" s="13" t="s">
        <v>37</v>
      </c>
      <c r="B43" s="13"/>
      <c r="C43" s="13"/>
      <c r="D43" s="13"/>
      <c r="E43" s="13"/>
      <c r="F43" s="13"/>
    </row>
    <row r="44" customFormat="false" ht="15" hidden="false" customHeight="false" outlineLevel="0" collapsed="false">
      <c r="A44" s="13" t="s">
        <v>38</v>
      </c>
      <c r="B44" s="13"/>
      <c r="C44" s="13"/>
      <c r="D44" s="13"/>
      <c r="E44" s="13"/>
      <c r="F44" s="13"/>
    </row>
    <row r="45" customFormat="false" ht="15" hidden="false" customHeight="false" outlineLevel="0" collapsed="false">
      <c r="A45" s="13" t="s">
        <v>39</v>
      </c>
      <c r="B45" s="13"/>
      <c r="C45" s="13"/>
      <c r="D45" s="13"/>
      <c r="E45" s="13"/>
      <c r="F45" s="13"/>
    </row>
    <row r="46" customFormat="false" ht="15" hidden="false" customHeight="false" outlineLevel="0" collapsed="false">
      <c r="A46" s="13" t="s">
        <v>40</v>
      </c>
      <c r="B46" s="13"/>
      <c r="C46" s="13"/>
      <c r="D46" s="13"/>
      <c r="E46" s="13"/>
      <c r="F46" s="13"/>
    </row>
    <row r="47" customFormat="false" ht="15" hidden="false" customHeight="false" outlineLevel="0" collapsed="false">
      <c r="A47" s="13" t="s">
        <v>41</v>
      </c>
      <c r="B47" s="13"/>
      <c r="C47" s="13"/>
      <c r="D47" s="13"/>
      <c r="E47" s="13"/>
      <c r="F47" s="13"/>
    </row>
    <row r="48" customFormat="false" ht="15" hidden="false" customHeight="false" outlineLevel="0" collapsed="false">
      <c r="A48" s="13" t="s">
        <v>42</v>
      </c>
      <c r="B48" s="13"/>
      <c r="C48" s="13"/>
      <c r="D48" s="13"/>
      <c r="E48" s="13"/>
      <c r="F48" s="13"/>
    </row>
  </sheetData>
  <mergeCells count="9">
    <mergeCell ref="A1:D1"/>
    <mergeCell ref="A12:D12"/>
    <mergeCell ref="A19:F19"/>
    <mergeCell ref="A43:F43"/>
    <mergeCell ref="A44:F44"/>
    <mergeCell ref="A45:F45"/>
    <mergeCell ref="A46:F46"/>
    <mergeCell ref="A47:F47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2026-01-28T18:17:21Z</dcterms:created>
  <dc:creator>openpyxl</dc:creator>
  <dc:description/>
  <dc:language>en-US</dc:language>
  <cp:lastModifiedBy/>
  <dcterms:modified xsi:type="dcterms:W3CDTF">2026-01-28T18:17:21Z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